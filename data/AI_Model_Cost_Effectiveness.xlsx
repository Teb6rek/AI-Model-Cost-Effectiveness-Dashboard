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st Effective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Model</t>
        </is>
      </c>
      <c r="B1" s="1" t="inlineStr">
        <is>
          <t>Author</t>
        </is>
      </c>
      <c r="C1" s="1" t="inlineStr">
        <is>
          <t>Context_Tokens</t>
        </is>
      </c>
      <c r="D1" s="1" t="inlineStr">
        <is>
          <t>Input_$/M</t>
        </is>
      </c>
      <c r="E1" s="1" t="inlineStr">
        <is>
          <t>Output_$/M</t>
        </is>
      </c>
      <c r="F1" s="1" t="inlineStr">
        <is>
          <t>Cached_Input_$/M</t>
        </is>
      </c>
      <c r="G1" s="1" t="inlineStr">
        <is>
          <t>Latency_s</t>
        </is>
      </c>
      <c r="H1" s="1" t="inlineStr">
        <is>
          <t>Throughput_tok_s</t>
        </is>
      </c>
      <c r="I1" s="1" t="inlineStr">
        <is>
          <t>Intelligence</t>
        </is>
      </c>
      <c r="J1" s="1" t="inlineStr">
        <is>
          <t>Coding</t>
        </is>
      </c>
      <c r="K1" s="1" t="inlineStr">
        <is>
          <t>Agentic</t>
        </is>
      </c>
      <c r="L1" s="1" t="inlineStr">
        <is>
          <t>30D_Activity_BTokens</t>
        </is>
      </c>
      <c r="M1" s="1" t="inlineStr">
        <is>
          <t>Cost_Score</t>
        </is>
      </c>
      <c r="N1" s="1" t="inlineStr">
        <is>
          <t>Performance_Score</t>
        </is>
      </c>
      <c r="O1" s="1" t="inlineStr">
        <is>
          <t>Value_Index</t>
        </is>
      </c>
    </row>
    <row r="2">
      <c r="A2" t="inlineStr">
        <is>
          <t>Claude Opus 4.8 (Fast)</t>
        </is>
      </c>
      <c r="B2" t="inlineStr">
        <is>
          <t>Anthropic</t>
        </is>
      </c>
      <c r="C2" t="n">
        <v>1000000</v>
      </c>
      <c r="D2" t="n">
        <v>10</v>
      </c>
      <c r="E2" t="n">
        <v>50</v>
      </c>
      <c r="F2" t="n">
        <v>1</v>
      </c>
      <c r="G2" t="n">
        <v>1.35</v>
      </c>
      <c r="H2" t="n">
        <v>106</v>
      </c>
      <c r="L2" t="n">
        <v>3.05</v>
      </c>
      <c r="M2">
        <f>((1/D2)+(1/E2))/2</f>
        <v/>
      </c>
      <c r="N2">
        <f>AVERAGE(H2:K2)</f>
        <v/>
      </c>
      <c r="O2">
        <f>N2*M2</f>
        <v/>
      </c>
    </row>
    <row r="3">
      <c r="A3" t="inlineStr">
        <is>
          <t>Gemini 3.5 Flash</t>
        </is>
      </c>
      <c r="B3" t="inlineStr">
        <is>
          <t>Google</t>
        </is>
      </c>
      <c r="C3" t="n">
        <v>1050000</v>
      </c>
      <c r="D3" t="n">
        <v>1.5</v>
      </c>
      <c r="E3" t="n">
        <v>9</v>
      </c>
      <c r="F3" t="n">
        <v>0.15</v>
      </c>
      <c r="G3" t="n">
        <v>1.84</v>
      </c>
      <c r="H3" t="n">
        <v>109</v>
      </c>
      <c r="I3" t="n">
        <v>55</v>
      </c>
      <c r="J3" t="n">
        <v>45</v>
      </c>
      <c r="K3" t="n">
        <v>70</v>
      </c>
      <c r="L3" t="n">
        <v>685</v>
      </c>
      <c r="M3">
        <f>((1/D3)+(1/E3))/2</f>
        <v/>
      </c>
      <c r="N3">
        <f>AVERAGE(H3:K3)</f>
        <v/>
      </c>
      <c r="O3">
        <f>N3*M3</f>
        <v/>
      </c>
    </row>
    <row r="4">
      <c r="A4" t="inlineStr">
        <is>
          <t>GPT Latest</t>
        </is>
      </c>
      <c r="B4" t="inlineStr">
        <is>
          <t>OpenAI</t>
        </is>
      </c>
      <c r="C4" t="n">
        <v>1050000</v>
      </c>
      <c r="D4" t="n">
        <v>5</v>
      </c>
      <c r="E4" t="n">
        <v>30</v>
      </c>
      <c r="F4" t="n">
        <v>0.5</v>
      </c>
      <c r="G4" t="n">
        <v>2.88</v>
      </c>
      <c r="H4" t="n">
        <v>33</v>
      </c>
      <c r="I4" t="n">
        <v>60</v>
      </c>
      <c r="J4" t="n">
        <v>59</v>
      </c>
      <c r="K4" t="n">
        <v>74</v>
      </c>
      <c r="L4" t="n">
        <v>8.619999999999999</v>
      </c>
      <c r="M4">
        <f>((1/D4)+(1/E4))/2</f>
        <v/>
      </c>
      <c r="N4">
        <f>AVERAGE(H4:K4)</f>
        <v/>
      </c>
      <c r="O4">
        <f>N4*M4</f>
        <v/>
      </c>
    </row>
    <row r="5">
      <c r="A5" t="inlineStr">
        <is>
          <t>Grok 4.3</t>
        </is>
      </c>
      <c r="B5" t="inlineStr">
        <is>
          <t>xAI</t>
        </is>
      </c>
      <c r="C5" t="n">
        <v>1000000</v>
      </c>
      <c r="D5" t="n">
        <v>1.25</v>
      </c>
      <c r="E5" t="n">
        <v>2.5</v>
      </c>
      <c r="F5" t="n">
        <v>0.2</v>
      </c>
      <c r="G5" t="n">
        <v>0.47</v>
      </c>
      <c r="H5" t="n">
        <v>121</v>
      </c>
      <c r="I5" t="n">
        <v>53</v>
      </c>
      <c r="J5" t="n">
        <v>41</v>
      </c>
      <c r="K5" t="n">
        <v>66</v>
      </c>
      <c r="L5" t="n">
        <v>217</v>
      </c>
      <c r="M5">
        <f>((1/D5)+(1/E5))/2</f>
        <v/>
      </c>
      <c r="N5">
        <f>AVERAGE(H5:K5)</f>
        <v/>
      </c>
      <c r="O5">
        <f>N5*M5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2026-05-29T15:29:44Z</dcterms:created>
  <dcterms:modified xmlns:dcterms="http://purl.org/dc/terms/" xmlns:xsi="http://www.w3.org/2001/XMLSchema-instance" xsi:type="dcterms:W3CDTF">2026-05-29T15:29:44Z</dcterms:modified>
</cp:coreProperties>
</file>